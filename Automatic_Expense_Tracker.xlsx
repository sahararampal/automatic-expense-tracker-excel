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Excel Projects\"/>
    </mc:Choice>
  </mc:AlternateContent>
  <xr:revisionPtr revIDLastSave="0" documentId="13_ncr:1_{088BB0D5-7F13-41D8-83F4-95B1C5241A88}" xr6:coauthVersionLast="47" xr6:coauthVersionMax="47" xr10:uidLastSave="{00000000-0000-0000-0000-000000000000}"/>
  <bookViews>
    <workbookView xWindow="-108" yWindow="-108" windowWidth="23256" windowHeight="12456" xr2:uid="{E7B6F898-01BC-46E3-AE8A-9F1AEB839421}"/>
  </bookViews>
  <sheets>
    <sheet name="RAW DATA" sheetId="1" r:id="rId1"/>
    <sheet name="PROJECT2" sheetId="2" r:id="rId2"/>
  </sheets>
  <externalReferences>
    <externalReference r:id="rId3"/>
  </externalReferences>
  <definedNames>
    <definedName name="_xlnm._FilterDatabase" localSheetId="0" hidden="1">'RAW DATA'!$A$1:$D$31</definedName>
    <definedName name="CUSTOMER_ID">[1]!CUSTOMERDATA[[#All],[CUSTOMER ID]]</definedName>
    <definedName name="_xlnm.Extract" localSheetId="0">'RAW DATA'!$G$1</definedName>
    <definedName name="HSN_CODE">[1]!PRODUCTSDATA[[#All],[HSN CODE]]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2" l="1"/>
  <c r="C17" i="2"/>
  <c r="C16" i="2"/>
  <c r="C15" i="2"/>
  <c r="C14" i="2"/>
  <c r="C13" i="2"/>
  <c r="C12" i="2"/>
  <c r="C11" i="2"/>
  <c r="C10" i="2"/>
  <c r="C19" i="2" l="1"/>
</calcChain>
</file>

<file path=xl/sharedStrings.xml><?xml version="1.0" encoding="utf-8"?>
<sst xmlns="http://schemas.openxmlformats.org/spreadsheetml/2006/main" count="88" uniqueCount="45">
  <si>
    <t>DATE</t>
  </si>
  <si>
    <t>CATEGORY</t>
  </si>
  <si>
    <t>DESCRIPTION</t>
  </si>
  <si>
    <t>AMOUNT</t>
  </si>
  <si>
    <t>Travel</t>
  </si>
  <si>
    <t xml:space="preserve">Delhi To Goa </t>
  </si>
  <si>
    <t>Food and Dining</t>
  </si>
  <si>
    <t>Pizza, Pasta and Dinner at xyz</t>
  </si>
  <si>
    <t>Shopping</t>
  </si>
  <si>
    <t xml:space="preserve">New Mobile Phone </t>
  </si>
  <si>
    <t>Education</t>
  </si>
  <si>
    <t>Kids Tution Fee</t>
  </si>
  <si>
    <t>Rent</t>
  </si>
  <si>
    <t>House Rent Paid</t>
  </si>
  <si>
    <t>Health care</t>
  </si>
  <si>
    <t>Medicine of Parents</t>
  </si>
  <si>
    <t>Goa To Delhi</t>
  </si>
  <si>
    <t>Bills</t>
  </si>
  <si>
    <t>Electricity</t>
  </si>
  <si>
    <t>Insurance</t>
  </si>
  <si>
    <t>Bike Insurance</t>
  </si>
  <si>
    <t>Transport</t>
  </si>
  <si>
    <t>Car Insurance</t>
  </si>
  <si>
    <t>Complete Family Checkup</t>
  </si>
  <si>
    <t>Kids School Fee</t>
  </si>
  <si>
    <t>Kids Stationary</t>
  </si>
  <si>
    <t>Mouse and Keyboard</t>
  </si>
  <si>
    <t>Water Bill</t>
  </si>
  <si>
    <t xml:space="preserve">Lunch With Family at xyz </t>
  </si>
  <si>
    <t>Mobile Bill</t>
  </si>
  <si>
    <t>Shop 1 Rent Paid</t>
  </si>
  <si>
    <t xml:space="preserve">Breakfast </t>
  </si>
  <si>
    <t>Dinner at Xyz Hotel</t>
  </si>
  <si>
    <t>Health Insurance</t>
  </si>
  <si>
    <t>airpods</t>
  </si>
  <si>
    <t xml:space="preserve">Birthday Celebration </t>
  </si>
  <si>
    <t>Cloaths For Kids</t>
  </si>
  <si>
    <t>Kids Books and Pens</t>
  </si>
  <si>
    <t>Shop 2 Rent Paid</t>
  </si>
  <si>
    <t>Family Checkup</t>
  </si>
  <si>
    <t>Delhi to Faridabad</t>
  </si>
  <si>
    <t>Faridabad to delhi</t>
  </si>
  <si>
    <t>START DATE</t>
  </si>
  <si>
    <t>END DATE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</si>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</sst>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₹&quot;\ * #,##0_ ;_ &quot;₹&quot;\ * \-#,##0_ ;_ &quot;₹&quot;\ * &quot;-&quot;_ ;_ @_ 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2" borderId="1" xfId="0" applyFont="1" applyFill="1" applyBorder="1"/>
    <xf numFmtId="14" fontId="2" fillId="0" borderId="2" xfId="1" applyNumberFormat="1" applyBorder="1" applyAlignment="1">
      <alignment horizontal="left"/>
    </xf>
    <xf numFmtId="0" fontId="2" fillId="0" borderId="3" xfId="1" applyBorder="1"/>
    <xf numFmtId="42" fontId="2" fillId="0" borderId="4" xfId="1" applyNumberFormat="1" applyBorder="1"/>
    <xf numFmtId="0" fontId="2" fillId="0" borderId="5" xfId="1" applyBorder="1"/>
    <xf numFmtId="14" fontId="2" fillId="0" borderId="6" xfId="1" applyNumberFormat="1" applyBorder="1" applyAlignment="1">
      <alignment horizontal="left"/>
    </xf>
    <xf numFmtId="42" fontId="2" fillId="0" borderId="7" xfId="1" applyNumberFormat="1" applyBorder="1"/>
    <xf numFmtId="0" fontId="0" fillId="0" borderId="8" xfId="0" applyBorder="1"/>
    <xf numFmtId="14" fontId="0" fillId="0" borderId="8" xfId="0" applyNumberFormat="1" applyBorder="1"/>
    <xf numFmtId="0" fontId="0" fillId="3" borderId="8" xfId="0" applyFill="1" applyBorder="1" applyAlignment="1">
      <alignment horizontal="center" vertical="center"/>
    </xf>
    <xf numFmtId="0" fontId="2" fillId="0" borderId="8" xfId="1" applyBorder="1"/>
  </cellXfs>
  <cellStyles count="2">
    <cellStyle name="Normal" xfId="0" builtinId="0"/>
    <cellStyle name="Normal 2" xfId="1" xr:uid="{E2142DF3-014F-429F-894C-A08C47228088}"/>
  </cellStyles>
  <dxfs count="4">
    <dxf>
      <numFmt numFmtId="32" formatCode="_ &quot;₹&quot;\ * #,##0_ ;_ &quot;₹&quot;\ * \-#,##0_ ;_ &quot;₹&quot;\ * &quot;-&quot;_ ;_ @_ "/>
      <border diagonalUp="0" diagonalDown="0">
        <left style="thin">
          <color theme="0" tint="-0.499984740745262"/>
        </left>
        <right/>
        <top style="thin">
          <color theme="0" tint="-0.499984740745262"/>
        </top>
        <bottom/>
        <vertical/>
        <horizontal/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/>
        <vertical/>
        <horizontal/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/>
        <vertical/>
        <horizontal/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815-4725-917A-E6D0C1400C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815-4725-917A-E6D0C1400C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815-4725-917A-E6D0C1400C7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815-4725-917A-E6D0C1400C7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815-4725-917A-E6D0C1400C7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815-4725-917A-E6D0C1400C7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815-4725-917A-E6D0C1400C7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815-4725-917A-E6D0C1400C7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815-4725-917A-E6D0C1400C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PROJECT2!$B$10:$B$18</c:f>
              <c:strCache>
                <c:ptCount val="9"/>
                <c:pt idx="0">
                  <c:v>Travel</c:v>
                </c:pt>
                <c:pt idx="1">
                  <c:v>Food and Dining</c:v>
                </c:pt>
                <c:pt idx="2">
                  <c:v>Shopping</c:v>
                </c:pt>
                <c:pt idx="3">
                  <c:v>Education</c:v>
                </c:pt>
                <c:pt idx="4">
                  <c:v>Rent</c:v>
                </c:pt>
                <c:pt idx="5">
                  <c:v>Health care</c:v>
                </c:pt>
                <c:pt idx="6">
                  <c:v>Bills</c:v>
                </c:pt>
                <c:pt idx="7">
                  <c:v>Insurance</c:v>
                </c:pt>
                <c:pt idx="8">
                  <c:v>Transport</c:v>
                </c:pt>
              </c:strCache>
            </c:strRef>
          </c:cat>
          <c:val>
            <c:numRef>
              <c:f>PROJECT2!$C$10:$C$18</c:f>
              <c:numCache>
                <c:formatCode>General</c:formatCode>
                <c:ptCount val="9"/>
                <c:pt idx="0">
                  <c:v>2500</c:v>
                </c:pt>
                <c:pt idx="1">
                  <c:v>5410</c:v>
                </c:pt>
                <c:pt idx="2">
                  <c:v>3400</c:v>
                </c:pt>
                <c:pt idx="3">
                  <c:v>7300</c:v>
                </c:pt>
                <c:pt idx="4">
                  <c:v>2249</c:v>
                </c:pt>
                <c:pt idx="5">
                  <c:v>3800</c:v>
                </c:pt>
                <c:pt idx="6">
                  <c:v>3550</c:v>
                </c:pt>
                <c:pt idx="7">
                  <c:v>4200</c:v>
                </c:pt>
                <c:pt idx="8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815-4725-917A-E6D0C1400C7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PROJECT2!$B$10:$B$18</c:f>
              <c:strCache>
                <c:ptCount val="9"/>
                <c:pt idx="0">
                  <c:v>Travel</c:v>
                </c:pt>
                <c:pt idx="1">
                  <c:v>Food and Dining</c:v>
                </c:pt>
                <c:pt idx="2">
                  <c:v>Shopping</c:v>
                </c:pt>
                <c:pt idx="3">
                  <c:v>Education</c:v>
                </c:pt>
                <c:pt idx="4">
                  <c:v>Rent</c:v>
                </c:pt>
                <c:pt idx="5">
                  <c:v>Health care</c:v>
                </c:pt>
                <c:pt idx="6">
                  <c:v>Bills</c:v>
                </c:pt>
                <c:pt idx="7">
                  <c:v>Insurance</c:v>
                </c:pt>
                <c:pt idx="8">
                  <c:v>Transport</c:v>
                </c:pt>
              </c:strCache>
            </c:strRef>
          </c:cat>
          <c:val>
            <c:numRef>
              <c:f>PROJECT2!$C$10:$C$18</c:f>
              <c:numCache>
                <c:formatCode>General</c:formatCode>
                <c:ptCount val="9"/>
                <c:pt idx="0">
                  <c:v>2500</c:v>
                </c:pt>
                <c:pt idx="1">
                  <c:v>5410</c:v>
                </c:pt>
                <c:pt idx="2">
                  <c:v>3400</c:v>
                </c:pt>
                <c:pt idx="3">
                  <c:v>7300</c:v>
                </c:pt>
                <c:pt idx="4">
                  <c:v>2249</c:v>
                </c:pt>
                <c:pt idx="5">
                  <c:v>3800</c:v>
                </c:pt>
                <c:pt idx="6">
                  <c:v>3550</c:v>
                </c:pt>
                <c:pt idx="7">
                  <c:v>4200</c:v>
                </c:pt>
                <c:pt idx="8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E1-4D34-9D11-647E039AF6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58833840"/>
        <c:axId val="358831096"/>
      </c:barChart>
      <c:catAx>
        <c:axId val="358833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831096"/>
        <c:crosses val="autoZero"/>
        <c:auto val="1"/>
        <c:lblAlgn val="ctr"/>
        <c:lblOffset val="100"/>
        <c:noMultiLvlLbl val="0"/>
      </c:catAx>
      <c:valAx>
        <c:axId val="358831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83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1.jpeg"/><Relationship Id="rId7" Type="http://schemas.openxmlformats.org/officeDocument/2006/relationships/image" Target="../media/image5.png"/><Relationship Id="rId12" Type="http://schemas.openxmlformats.org/officeDocument/2006/relationships/image" Target="../media/image10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jpg"/><Relationship Id="rId11" Type="http://schemas.openxmlformats.org/officeDocument/2006/relationships/image" Target="../media/image9.png"/><Relationship Id="rId5" Type="http://schemas.openxmlformats.org/officeDocument/2006/relationships/image" Target="../media/image3.jpeg"/><Relationship Id="rId10" Type="http://schemas.openxmlformats.org/officeDocument/2006/relationships/image" Target="../media/image8.jpeg"/><Relationship Id="rId4" Type="http://schemas.openxmlformats.org/officeDocument/2006/relationships/image" Target="../media/image2.png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0</xdr:rowOff>
    </xdr:from>
    <xdr:to>
      <xdr:col>20</xdr:col>
      <xdr:colOff>0</xdr:colOff>
      <xdr:row>20</xdr:row>
      <xdr:rowOff>133349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C297E29-6D8A-43A5-8C6E-D23F2C3665DD}"/>
            </a:ext>
          </a:extLst>
        </xdr:cNvPr>
        <xdr:cNvGrpSpPr/>
      </xdr:nvGrpSpPr>
      <xdr:grpSpPr>
        <a:xfrm>
          <a:off x="28575" y="0"/>
          <a:ext cx="12628245" cy="4248149"/>
          <a:chOff x="28575" y="0"/>
          <a:chExt cx="12934950" cy="4419599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5B31017B-2868-FD4F-5FCA-A95CCFB55CA8}"/>
              </a:ext>
            </a:extLst>
          </xdr:cNvPr>
          <xdr:cNvGraphicFramePr/>
        </xdr:nvGraphicFramePr>
        <xdr:xfrm>
          <a:off x="8324850" y="771525"/>
          <a:ext cx="4248150" cy="16097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85BBAADA-F479-744D-3747-38674611FB65}"/>
              </a:ext>
            </a:extLst>
          </xdr:cNvPr>
          <xdr:cNvGraphicFramePr/>
        </xdr:nvGraphicFramePr>
        <xdr:xfrm>
          <a:off x="8315325" y="2428874"/>
          <a:ext cx="4276725" cy="19907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pic>
        <xdr:nvPicPr>
          <xdr:cNvPr id="5" name="Picture 4">
            <a:extLst>
              <a:ext uri="{FF2B5EF4-FFF2-40B4-BE49-F238E27FC236}">
                <a16:creationId xmlns:a16="http://schemas.microsoft.com/office/drawing/2014/main" id="{9FA09598-F423-24D0-0E96-2411F71EAE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43225" y="819150"/>
            <a:ext cx="790576" cy="790576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99BA038C-921C-5878-4D91-473662C99B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86325" y="800100"/>
            <a:ext cx="638175" cy="638175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D4DA7757-E5CC-FE0C-2A6C-868F2115DEC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562725" y="609600"/>
            <a:ext cx="1009650" cy="1009650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F01ACA67-9F9B-B664-CFA0-5C085BCE3E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33700" y="2038350"/>
            <a:ext cx="851997" cy="638175"/>
          </a:xfrm>
          <a:prstGeom prst="rect">
            <a:avLst/>
          </a:prstGeom>
        </xdr:spPr>
      </xdr:pic>
      <xdr:pic>
        <xdr:nvPicPr>
          <xdr:cNvPr id="9" name="Picture 8">
            <a:extLst>
              <a:ext uri="{FF2B5EF4-FFF2-40B4-BE49-F238E27FC236}">
                <a16:creationId xmlns:a16="http://schemas.microsoft.com/office/drawing/2014/main" id="{F43BC438-120D-C12C-E3B4-926E9F6662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23815" y="2047875"/>
            <a:ext cx="610209" cy="581025"/>
          </a:xfrm>
          <a:prstGeom prst="rect">
            <a:avLst/>
          </a:prstGeom>
        </xdr:spPr>
      </xdr:pic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048EBE82-571B-4D8C-268A-2F9F91A87A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34176" y="2038350"/>
            <a:ext cx="581024" cy="581024"/>
          </a:xfrm>
          <a:prstGeom prst="rect">
            <a:avLst/>
          </a:prstGeom>
        </xdr:spPr>
      </xdr:pic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BBA1B59B-6F49-FD6A-F870-6FA6112EF6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52750" y="3257550"/>
            <a:ext cx="666750" cy="666750"/>
          </a:xfrm>
          <a:prstGeom prst="rect">
            <a:avLst/>
          </a:prstGeom>
        </xdr:spPr>
      </xdr:pic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C52C630B-EC6A-1F02-777A-9941FE1CE5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5375" y="3209925"/>
            <a:ext cx="676276" cy="676276"/>
          </a:xfrm>
          <a:prstGeom prst="rect">
            <a:avLst/>
          </a:prstGeom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BA0FF8AE-200F-2011-CF20-E1F5D6F2F9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667206" y="3219450"/>
            <a:ext cx="781343" cy="590550"/>
          </a:xfrm>
          <a:prstGeom prst="rect">
            <a:avLst/>
          </a:prstGeom>
        </xdr:spPr>
      </xdr:pic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9E8D2B8B-587F-BDF6-B454-F86DA184DCC1}"/>
              </a:ext>
            </a:extLst>
          </xdr:cNvPr>
          <xdr:cNvSpPr/>
        </xdr:nvSpPr>
        <xdr:spPr>
          <a:xfrm>
            <a:off x="4695825" y="1457325"/>
            <a:ext cx="971550" cy="2667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IN" sz="1100">
                <a:solidFill>
                  <a:schemeClr val="tx1"/>
                </a:solidFill>
              </a:rPr>
              <a:t>EDUCATION</a:t>
            </a:r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D6DE9BA7-EAE5-E7E9-108A-D65A741C778E}"/>
              </a:ext>
            </a:extLst>
          </xdr:cNvPr>
          <xdr:cNvSpPr/>
        </xdr:nvSpPr>
        <xdr:spPr>
          <a:xfrm>
            <a:off x="6572250" y="1438275"/>
            <a:ext cx="971550" cy="2667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IN" sz="1100">
                <a:solidFill>
                  <a:schemeClr val="tx1"/>
                </a:solidFill>
              </a:rPr>
              <a:t>TRAVEL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88993CB9-31A7-B5F9-155A-41CE79649272}"/>
              </a:ext>
            </a:extLst>
          </xdr:cNvPr>
          <xdr:cNvSpPr/>
        </xdr:nvSpPr>
        <xdr:spPr>
          <a:xfrm>
            <a:off x="6534150" y="2638425"/>
            <a:ext cx="971550" cy="2667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IN" sz="1100">
                <a:solidFill>
                  <a:schemeClr val="tx1"/>
                </a:solidFill>
              </a:rPr>
              <a:t>RENT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AB252D11-BE1A-FE39-13F0-C21B335071AB}"/>
              </a:ext>
            </a:extLst>
          </xdr:cNvPr>
          <xdr:cNvSpPr/>
        </xdr:nvSpPr>
        <xdr:spPr>
          <a:xfrm>
            <a:off x="4772025" y="2657475"/>
            <a:ext cx="971550" cy="2667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IN" sz="1100">
                <a:solidFill>
                  <a:schemeClr val="tx1"/>
                </a:solidFill>
              </a:rPr>
              <a:t>SHOPPING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928829BA-A0B3-B138-FFEE-C7E38F506DBD}"/>
              </a:ext>
            </a:extLst>
          </xdr:cNvPr>
          <xdr:cNvSpPr/>
        </xdr:nvSpPr>
        <xdr:spPr>
          <a:xfrm>
            <a:off x="2752726" y="2657475"/>
            <a:ext cx="1276350" cy="2667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IN" sz="1100">
                <a:solidFill>
                  <a:schemeClr val="tx1"/>
                </a:solidFill>
              </a:rPr>
              <a:t>FOOD &amp; DINING</a:t>
            </a: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3111402C-F233-2E2E-F46C-88E3A9F9FBD9}"/>
              </a:ext>
            </a:extLst>
          </xdr:cNvPr>
          <xdr:cNvSpPr/>
        </xdr:nvSpPr>
        <xdr:spPr>
          <a:xfrm>
            <a:off x="2809875" y="3933825"/>
            <a:ext cx="971550" cy="2667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IN" sz="1100">
                <a:solidFill>
                  <a:schemeClr val="tx1"/>
                </a:solidFill>
              </a:rPr>
              <a:t>BILLS</a:t>
            </a: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277970F3-F142-6B1F-C3E1-6DFFC14CC4D7}"/>
              </a:ext>
            </a:extLst>
          </xdr:cNvPr>
          <xdr:cNvSpPr/>
        </xdr:nvSpPr>
        <xdr:spPr>
          <a:xfrm>
            <a:off x="4695825" y="3914775"/>
            <a:ext cx="971550" cy="2667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IN" sz="1100">
                <a:solidFill>
                  <a:schemeClr val="tx1"/>
                </a:solidFill>
              </a:rPr>
              <a:t>INSURANCE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71A06684-1B0D-515B-23A2-59CD4F069C59}"/>
              </a:ext>
            </a:extLst>
          </xdr:cNvPr>
          <xdr:cNvSpPr/>
        </xdr:nvSpPr>
        <xdr:spPr>
          <a:xfrm>
            <a:off x="6524625" y="3867150"/>
            <a:ext cx="971550" cy="2667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IN" sz="1100">
                <a:solidFill>
                  <a:schemeClr val="tx1"/>
                </a:solidFill>
              </a:rPr>
              <a:t>TRANSPORT</a:t>
            </a:r>
          </a:p>
        </xdr:txBody>
      </xdr:sp>
      <xdr:sp macro="" textlink="$C$15">
        <xdr:nvSpPr>
          <xdr:cNvPr id="22" name="Rectangle 21">
            <a:extLst>
              <a:ext uri="{FF2B5EF4-FFF2-40B4-BE49-F238E27FC236}">
                <a16:creationId xmlns:a16="http://schemas.microsoft.com/office/drawing/2014/main" id="{C2F7099A-880E-49D8-4378-8BB80A9409BA}"/>
              </a:ext>
            </a:extLst>
          </xdr:cNvPr>
          <xdr:cNvSpPr/>
        </xdr:nvSpPr>
        <xdr:spPr>
          <a:xfrm>
            <a:off x="2838450" y="1762125"/>
            <a:ext cx="971550" cy="25717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7346E10-88F7-4EF9-839A-F8D2DBFD9CF9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3800</a:t>
            </a:fld>
            <a:endParaRPr lang="en-IN" sz="1100"/>
          </a:p>
        </xdr:txBody>
      </xdr:sp>
      <xdr:sp macro="" textlink="$C$13">
        <xdr:nvSpPr>
          <xdr:cNvPr id="23" name="Rectangle 22">
            <a:extLst>
              <a:ext uri="{FF2B5EF4-FFF2-40B4-BE49-F238E27FC236}">
                <a16:creationId xmlns:a16="http://schemas.microsoft.com/office/drawing/2014/main" id="{179876BA-11B2-059C-9D53-DA1775F975DF}"/>
              </a:ext>
            </a:extLst>
          </xdr:cNvPr>
          <xdr:cNvSpPr/>
        </xdr:nvSpPr>
        <xdr:spPr>
          <a:xfrm>
            <a:off x="4705350" y="1695450"/>
            <a:ext cx="971550" cy="2286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080BB16-CB22-404D-BEF2-C8256D3F4DB2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7300</a:t>
            </a:fld>
            <a:endParaRPr lang="en-IN" sz="1100"/>
          </a:p>
        </xdr:txBody>
      </xdr:sp>
      <xdr:sp macro="" textlink="$C$10">
        <xdr:nvSpPr>
          <xdr:cNvPr id="24" name="Rectangle 23">
            <a:extLst>
              <a:ext uri="{FF2B5EF4-FFF2-40B4-BE49-F238E27FC236}">
                <a16:creationId xmlns:a16="http://schemas.microsoft.com/office/drawing/2014/main" id="{A1A56E9E-DF70-68EE-D261-A323A6B6E375}"/>
              </a:ext>
            </a:extLst>
          </xdr:cNvPr>
          <xdr:cNvSpPr/>
        </xdr:nvSpPr>
        <xdr:spPr>
          <a:xfrm>
            <a:off x="6553200" y="1628775"/>
            <a:ext cx="971550" cy="25717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3D1F269-202F-4A4A-9FCB-A13C66ABE47C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2500</a:t>
            </a:fld>
            <a:endParaRPr lang="en-IN" sz="1100"/>
          </a:p>
        </xdr:txBody>
      </xdr:sp>
      <xdr:sp macro="" textlink="$C$11">
        <xdr:nvSpPr>
          <xdr:cNvPr id="25" name="Rectangle 24">
            <a:extLst>
              <a:ext uri="{FF2B5EF4-FFF2-40B4-BE49-F238E27FC236}">
                <a16:creationId xmlns:a16="http://schemas.microsoft.com/office/drawing/2014/main" id="{E1C4496E-517C-5DCF-7421-1D000756D8C9}"/>
              </a:ext>
            </a:extLst>
          </xdr:cNvPr>
          <xdr:cNvSpPr/>
        </xdr:nvSpPr>
        <xdr:spPr>
          <a:xfrm>
            <a:off x="2867025" y="2867025"/>
            <a:ext cx="971550" cy="25717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386EC6C-F7AF-4E3B-8EC9-16F2F0EAB34F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5410</a:t>
            </a:fld>
            <a:endParaRPr lang="en-IN" sz="1100"/>
          </a:p>
        </xdr:txBody>
      </xdr:sp>
      <xdr:sp macro="" textlink="$C$12">
        <xdr:nvSpPr>
          <xdr:cNvPr id="26" name="Rectangle 25">
            <a:extLst>
              <a:ext uri="{FF2B5EF4-FFF2-40B4-BE49-F238E27FC236}">
                <a16:creationId xmlns:a16="http://schemas.microsoft.com/office/drawing/2014/main" id="{3ECF8C23-E9B8-19E4-0ED4-3DD2D33B2BC4}"/>
              </a:ext>
            </a:extLst>
          </xdr:cNvPr>
          <xdr:cNvSpPr/>
        </xdr:nvSpPr>
        <xdr:spPr>
          <a:xfrm>
            <a:off x="4752975" y="2847975"/>
            <a:ext cx="971550" cy="25717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8A1D30E-A72C-4076-93C4-7D710000C813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3400</a:t>
            </a:fld>
            <a:endParaRPr lang="en-IN" sz="1100"/>
          </a:p>
        </xdr:txBody>
      </xdr:sp>
      <xdr:sp macro="" textlink="$C$14">
        <xdr:nvSpPr>
          <xdr:cNvPr id="27" name="Rectangle 26">
            <a:extLst>
              <a:ext uri="{FF2B5EF4-FFF2-40B4-BE49-F238E27FC236}">
                <a16:creationId xmlns:a16="http://schemas.microsoft.com/office/drawing/2014/main" id="{EBD1B751-C0E9-A553-EEF9-DEAA55001C25}"/>
              </a:ext>
            </a:extLst>
          </xdr:cNvPr>
          <xdr:cNvSpPr/>
        </xdr:nvSpPr>
        <xdr:spPr>
          <a:xfrm>
            <a:off x="6534150" y="2819400"/>
            <a:ext cx="971550" cy="25717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45F91FA-0D99-4A63-8DDB-BED880BFCA5B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2249</a:t>
            </a:fld>
            <a:endParaRPr lang="en-IN" sz="1100"/>
          </a:p>
        </xdr:txBody>
      </xdr:sp>
      <xdr:sp macro="" textlink="$C$16">
        <xdr:nvSpPr>
          <xdr:cNvPr id="28" name="Rectangle 27">
            <a:extLst>
              <a:ext uri="{FF2B5EF4-FFF2-40B4-BE49-F238E27FC236}">
                <a16:creationId xmlns:a16="http://schemas.microsoft.com/office/drawing/2014/main" id="{12D3B668-6456-4C6E-E58D-15FCCE631315}"/>
              </a:ext>
            </a:extLst>
          </xdr:cNvPr>
          <xdr:cNvSpPr/>
        </xdr:nvSpPr>
        <xdr:spPr>
          <a:xfrm>
            <a:off x="2809875" y="4124325"/>
            <a:ext cx="971550" cy="25717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64E8C93-43FE-4506-A96F-62E8A4709811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3550</a:t>
            </a:fld>
            <a:endParaRPr lang="en-IN" sz="1100"/>
          </a:p>
        </xdr:txBody>
      </xdr:sp>
      <xdr:sp macro="" textlink="$C$17">
        <xdr:nvSpPr>
          <xdr:cNvPr id="29" name="Rectangle 28">
            <a:extLst>
              <a:ext uri="{FF2B5EF4-FFF2-40B4-BE49-F238E27FC236}">
                <a16:creationId xmlns:a16="http://schemas.microsoft.com/office/drawing/2014/main" id="{F0206234-C569-E395-7525-EE142B38F290}"/>
              </a:ext>
            </a:extLst>
          </xdr:cNvPr>
          <xdr:cNvSpPr/>
        </xdr:nvSpPr>
        <xdr:spPr>
          <a:xfrm>
            <a:off x="4676775" y="4105275"/>
            <a:ext cx="971550" cy="25717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183C135-2FC7-4901-A74B-90EE9A5E2512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4200</a:t>
            </a:fld>
            <a:endParaRPr lang="en-IN" sz="1100"/>
          </a:p>
        </xdr:txBody>
      </xdr:sp>
      <xdr:sp macro="" textlink="$C$18">
        <xdr:nvSpPr>
          <xdr:cNvPr id="30" name="Rectangle 29">
            <a:extLst>
              <a:ext uri="{FF2B5EF4-FFF2-40B4-BE49-F238E27FC236}">
                <a16:creationId xmlns:a16="http://schemas.microsoft.com/office/drawing/2014/main" id="{8467D809-E19F-E0BD-35A4-B1DC8AD1460F}"/>
              </a:ext>
            </a:extLst>
          </xdr:cNvPr>
          <xdr:cNvSpPr/>
        </xdr:nvSpPr>
        <xdr:spPr>
          <a:xfrm>
            <a:off x="6505575" y="4095750"/>
            <a:ext cx="971550" cy="25717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4EA2E60-310E-4304-9452-86FDC7792D49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2500</a:t>
            </a:fld>
            <a:endParaRPr lang="en-IN" sz="1100"/>
          </a:p>
        </xdr:txBody>
      </xdr:sp>
      <xdr:pic>
        <xdr:nvPicPr>
          <xdr:cNvPr id="31" name="Picture 30">
            <a:extLst>
              <a:ext uri="{FF2B5EF4-FFF2-40B4-BE49-F238E27FC236}">
                <a16:creationId xmlns:a16="http://schemas.microsoft.com/office/drawing/2014/main" id="{072A8FC9-25BB-0646-AD2A-A7AA48FD6F5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43225" y="762000"/>
            <a:ext cx="790576" cy="790576"/>
          </a:xfrm>
          <a:prstGeom prst="rect">
            <a:avLst/>
          </a:prstGeom>
        </xdr:spPr>
      </xdr:pic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CA3FCD13-D8E4-6747-FFE6-89FEAEF57475}"/>
              </a:ext>
            </a:extLst>
          </xdr:cNvPr>
          <xdr:cNvSpPr/>
        </xdr:nvSpPr>
        <xdr:spPr>
          <a:xfrm>
            <a:off x="2847975" y="1504950"/>
            <a:ext cx="971550" cy="2667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IN" sz="1100">
                <a:solidFill>
                  <a:schemeClr val="tx1"/>
                </a:solidFill>
              </a:rPr>
              <a:t>HEALTH CARE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C0DE6267-216C-EF88-A6CE-9A3EC2DEDCD7}"/>
              </a:ext>
            </a:extLst>
          </xdr:cNvPr>
          <xdr:cNvSpPr/>
        </xdr:nvSpPr>
        <xdr:spPr>
          <a:xfrm>
            <a:off x="4724400" y="1476375"/>
            <a:ext cx="971550" cy="2667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IN" sz="1100">
                <a:solidFill>
                  <a:schemeClr val="tx1"/>
                </a:solidFill>
              </a:rPr>
              <a:t>EDUCATION</a:t>
            </a:r>
          </a:p>
        </xdr:txBody>
      </xdr:sp>
      <xdr:sp macro="" textlink="$C$15">
        <xdr:nvSpPr>
          <xdr:cNvPr id="34" name="Rectangle 33">
            <a:extLst>
              <a:ext uri="{FF2B5EF4-FFF2-40B4-BE49-F238E27FC236}">
                <a16:creationId xmlns:a16="http://schemas.microsoft.com/office/drawing/2014/main" id="{4CBFCC11-FA77-E9F7-6520-5AE6EA366F18}"/>
              </a:ext>
            </a:extLst>
          </xdr:cNvPr>
          <xdr:cNvSpPr/>
        </xdr:nvSpPr>
        <xdr:spPr>
          <a:xfrm>
            <a:off x="2838450" y="1704975"/>
            <a:ext cx="971550" cy="25717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7346E10-88F7-4EF9-839A-F8D2DBFD9CF9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3800</a:t>
            </a:fld>
            <a:endParaRPr lang="en-IN" sz="1100"/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819B3F5-6954-A6CA-2C0C-A7788E63EB81}"/>
              </a:ext>
            </a:extLst>
          </xdr:cNvPr>
          <xdr:cNvSpPr/>
        </xdr:nvSpPr>
        <xdr:spPr>
          <a:xfrm>
            <a:off x="28575" y="0"/>
            <a:ext cx="12934950" cy="73342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4800" b="1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AUTOMATIC EXPENSE TRACKER SOFTWARE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SAHARA2.xlsx" TargetMode="External"/><Relationship Id="rId2" Type="http://schemas.openxmlformats.org/officeDocument/2006/relationships/externalLinkPath" Target="file:///C:\Users\admin\Downloads\SAHARA2.xlsx" TargetMode="External"/><Relationship Id="rId1" Type="http://schemas.openxmlformats.org/officeDocument/2006/relationships/externalLinkPath" Target="/Users/admin/Downloads/SAHARA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AW DATA"/>
      <sheetName val="PROJECT2"/>
      <sheetName val="DASHBOARD"/>
      <sheetName val="CUSTOMERS"/>
      <sheetName val="VENDORS"/>
      <sheetName val="PRODUCTS"/>
      <sheetName val="NEW ENTRY"/>
      <sheetName val="PURCHASE"/>
      <sheetName val="SALES"/>
      <sheetName val="INVENTORY"/>
      <sheetName val="PIVOT"/>
    </sheetNames>
    <sheetDataSet>
      <sheetData sheetId="0">
        <row r="2">
          <cell r="D2">
            <v>5500</v>
          </cell>
        </row>
        <row r="3">
          <cell r="D3">
            <v>780</v>
          </cell>
        </row>
        <row r="4">
          <cell r="D4">
            <v>10000</v>
          </cell>
        </row>
        <row r="5">
          <cell r="D5">
            <v>4000</v>
          </cell>
        </row>
        <row r="6">
          <cell r="D6">
            <v>5000</v>
          </cell>
        </row>
        <row r="7">
          <cell r="D7">
            <v>3400</v>
          </cell>
        </row>
        <row r="8">
          <cell r="D8">
            <v>2500</v>
          </cell>
        </row>
        <row r="9">
          <cell r="D9">
            <v>300</v>
          </cell>
        </row>
        <row r="10">
          <cell r="D10">
            <v>1450</v>
          </cell>
        </row>
        <row r="11">
          <cell r="D11">
            <v>8000</v>
          </cell>
        </row>
        <row r="12">
          <cell r="D12">
            <v>3000</v>
          </cell>
        </row>
        <row r="13">
          <cell r="D13">
            <v>4000</v>
          </cell>
        </row>
        <row r="14">
          <cell r="D14">
            <v>200</v>
          </cell>
        </row>
        <row r="15">
          <cell r="D15">
            <v>500</v>
          </cell>
        </row>
        <row r="16">
          <cell r="D16">
            <v>4000</v>
          </cell>
        </row>
        <row r="17">
          <cell r="D17">
            <v>800</v>
          </cell>
        </row>
        <row r="18">
          <cell r="D18">
            <v>2200</v>
          </cell>
        </row>
        <row r="19">
          <cell r="D19">
            <v>4500</v>
          </cell>
        </row>
        <row r="20">
          <cell r="D20">
            <v>230</v>
          </cell>
        </row>
        <row r="21">
          <cell r="D21">
            <v>760</v>
          </cell>
        </row>
        <row r="22">
          <cell r="D22">
            <v>1050</v>
          </cell>
        </row>
        <row r="23">
          <cell r="D23">
            <v>799</v>
          </cell>
        </row>
        <row r="24">
          <cell r="D24">
            <v>2000</v>
          </cell>
        </row>
        <row r="25">
          <cell r="D25">
            <v>1400</v>
          </cell>
        </row>
        <row r="26">
          <cell r="D26">
            <v>430</v>
          </cell>
        </row>
        <row r="27">
          <cell r="D27">
            <v>1200</v>
          </cell>
        </row>
        <row r="28">
          <cell r="D28">
            <v>599</v>
          </cell>
        </row>
        <row r="29">
          <cell r="D29">
            <v>1200</v>
          </cell>
        </row>
        <row r="30">
          <cell r="D30">
            <v>1200</v>
          </cell>
        </row>
        <row r="31">
          <cell r="D31">
            <v>1300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97AE61-D25B-46F2-AB69-29265E7EDA73}" name="Table1" displayName="Table1" ref="A1:D31" totalsRowShown="0">
  <tableColumns count="4">
    <tableColumn id="1" xr3:uid="{C3EC459E-D32B-4697-B6A2-D7D4A325DC45}" name="DATE" dataDxfId="3" dataCellStyle="Normal 2"/>
    <tableColumn id="2" xr3:uid="{648E0FD5-A48D-4B1F-A7AC-1ED2F0DC863E}" name="CATEGORY" dataDxfId="2" dataCellStyle="Normal 2"/>
    <tableColumn id="3" xr3:uid="{8AE98922-84AD-4E16-8F31-BA94DF161724}" name="DESCRIPTION" dataDxfId="1" dataCellStyle="Normal 2"/>
    <tableColumn id="4" xr3:uid="{615BC114-123C-47FD-A7A8-3467BD1B2E48}" name="AMOUNT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18EEE-8FFA-479D-AC27-F44685F286B6}">
  <dimension ref="A1:G31"/>
  <sheetViews>
    <sheetView tabSelected="1" workbookViewId="0">
      <selection activeCell="F3" sqref="F3"/>
    </sheetView>
  </sheetViews>
  <sheetFormatPr defaultRowHeight="14.4" x14ac:dyDescent="0.3"/>
  <cols>
    <col min="1" max="1" width="14.5546875" bestFit="1" customWidth="1"/>
    <col min="2" max="2" width="19.44140625" bestFit="1" customWidth="1"/>
    <col min="3" max="3" width="34.5546875" bestFit="1" customWidth="1"/>
    <col min="4" max="4" width="12.33203125" bestFit="1" customWidth="1"/>
    <col min="7" max="7" width="19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G1" s="1" t="s">
        <v>1</v>
      </c>
    </row>
    <row r="2" spans="1:7" ht="18" x14ac:dyDescent="0.35">
      <c r="A2" s="2">
        <v>44621</v>
      </c>
      <c r="B2" s="3" t="s">
        <v>4</v>
      </c>
      <c r="C2" s="3" t="s">
        <v>5</v>
      </c>
      <c r="D2" s="4">
        <v>5500</v>
      </c>
      <c r="G2" s="3" t="s">
        <v>4</v>
      </c>
    </row>
    <row r="3" spans="1:7" ht="18" x14ac:dyDescent="0.35">
      <c r="A3" s="2">
        <v>44621</v>
      </c>
      <c r="B3" s="3" t="s">
        <v>6</v>
      </c>
      <c r="C3" s="3" t="s">
        <v>7</v>
      </c>
      <c r="D3" s="4">
        <v>780</v>
      </c>
      <c r="G3" s="3" t="s">
        <v>6</v>
      </c>
    </row>
    <row r="4" spans="1:7" ht="18" x14ac:dyDescent="0.35">
      <c r="A4" s="2">
        <v>44621</v>
      </c>
      <c r="B4" s="3" t="s">
        <v>8</v>
      </c>
      <c r="C4" s="3" t="s">
        <v>9</v>
      </c>
      <c r="D4" s="4">
        <v>10000</v>
      </c>
      <c r="G4" s="3" t="s">
        <v>8</v>
      </c>
    </row>
    <row r="5" spans="1:7" ht="18" x14ac:dyDescent="0.35">
      <c r="A5" s="2">
        <v>44622</v>
      </c>
      <c r="B5" s="3" t="s">
        <v>10</v>
      </c>
      <c r="C5" s="3" t="s">
        <v>11</v>
      </c>
      <c r="D5" s="4">
        <v>4000</v>
      </c>
      <c r="G5" s="3" t="s">
        <v>10</v>
      </c>
    </row>
    <row r="6" spans="1:7" ht="18" x14ac:dyDescent="0.35">
      <c r="A6" s="2">
        <v>44623</v>
      </c>
      <c r="B6" s="3" t="s">
        <v>12</v>
      </c>
      <c r="C6" s="3" t="s">
        <v>13</v>
      </c>
      <c r="D6" s="4">
        <v>5000</v>
      </c>
      <c r="G6" s="3" t="s">
        <v>12</v>
      </c>
    </row>
    <row r="7" spans="1:7" ht="18" x14ac:dyDescent="0.35">
      <c r="A7" s="2">
        <v>44624</v>
      </c>
      <c r="B7" s="3" t="s">
        <v>14</v>
      </c>
      <c r="C7" s="3" t="s">
        <v>15</v>
      </c>
      <c r="D7" s="4">
        <v>3400</v>
      </c>
      <c r="G7" s="3" t="s">
        <v>14</v>
      </c>
    </row>
    <row r="8" spans="1:7" ht="18" x14ac:dyDescent="0.35">
      <c r="A8" s="2">
        <v>44624</v>
      </c>
      <c r="B8" s="3" t="s">
        <v>4</v>
      </c>
      <c r="C8" s="3" t="s">
        <v>16</v>
      </c>
      <c r="D8" s="4">
        <v>2500</v>
      </c>
      <c r="G8" s="3" t="s">
        <v>17</v>
      </c>
    </row>
    <row r="9" spans="1:7" ht="18" x14ac:dyDescent="0.35">
      <c r="A9" s="2">
        <v>44624</v>
      </c>
      <c r="B9" s="3" t="s">
        <v>17</v>
      </c>
      <c r="C9" s="3" t="s">
        <v>18</v>
      </c>
      <c r="D9" s="4">
        <v>300</v>
      </c>
      <c r="G9" s="3" t="s">
        <v>19</v>
      </c>
    </row>
    <row r="10" spans="1:7" ht="18" x14ac:dyDescent="0.35">
      <c r="A10" s="2">
        <v>44625</v>
      </c>
      <c r="B10" s="3" t="s">
        <v>19</v>
      </c>
      <c r="C10" s="3" t="s">
        <v>20</v>
      </c>
      <c r="D10" s="4">
        <v>1450</v>
      </c>
      <c r="G10" s="5" t="s">
        <v>21</v>
      </c>
    </row>
    <row r="11" spans="1:7" ht="18" x14ac:dyDescent="0.35">
      <c r="A11" s="2">
        <v>44625</v>
      </c>
      <c r="B11" s="3" t="s">
        <v>19</v>
      </c>
      <c r="C11" s="3" t="s">
        <v>22</v>
      </c>
      <c r="D11" s="4">
        <v>8000</v>
      </c>
    </row>
    <row r="12" spans="1:7" ht="18" x14ac:dyDescent="0.35">
      <c r="A12" s="2">
        <v>44625</v>
      </c>
      <c r="B12" s="3" t="s">
        <v>14</v>
      </c>
      <c r="C12" s="3" t="s">
        <v>23</v>
      </c>
      <c r="D12" s="4">
        <v>3000</v>
      </c>
    </row>
    <row r="13" spans="1:7" ht="18" x14ac:dyDescent="0.35">
      <c r="A13" s="2">
        <v>44625</v>
      </c>
      <c r="B13" s="3" t="s">
        <v>10</v>
      </c>
      <c r="C13" s="3" t="s">
        <v>24</v>
      </c>
      <c r="D13" s="4">
        <v>4000</v>
      </c>
    </row>
    <row r="14" spans="1:7" ht="18" x14ac:dyDescent="0.35">
      <c r="A14" s="2">
        <v>44625</v>
      </c>
      <c r="B14" s="3" t="s">
        <v>10</v>
      </c>
      <c r="C14" s="3" t="s">
        <v>25</v>
      </c>
      <c r="D14" s="4">
        <v>200</v>
      </c>
    </row>
    <row r="15" spans="1:7" ht="18" x14ac:dyDescent="0.35">
      <c r="A15" s="2">
        <v>44626</v>
      </c>
      <c r="B15" s="3" t="s">
        <v>8</v>
      </c>
      <c r="C15" s="3" t="s">
        <v>26</v>
      </c>
      <c r="D15" s="4">
        <v>500</v>
      </c>
    </row>
    <row r="16" spans="1:7" ht="18" x14ac:dyDescent="0.35">
      <c r="A16" s="2">
        <v>44627</v>
      </c>
      <c r="B16" s="3" t="s">
        <v>17</v>
      </c>
      <c r="C16" s="3" t="s">
        <v>27</v>
      </c>
      <c r="D16" s="4">
        <v>4000</v>
      </c>
    </row>
    <row r="17" spans="1:4" ht="18" x14ac:dyDescent="0.35">
      <c r="A17" s="2">
        <v>44628</v>
      </c>
      <c r="B17" s="3" t="s">
        <v>6</v>
      </c>
      <c r="C17" s="3" t="s">
        <v>28</v>
      </c>
      <c r="D17" s="4">
        <v>800</v>
      </c>
    </row>
    <row r="18" spans="1:4" ht="18" x14ac:dyDescent="0.35">
      <c r="A18" s="2">
        <v>44629</v>
      </c>
      <c r="B18" s="3" t="s">
        <v>17</v>
      </c>
      <c r="C18" s="3" t="s">
        <v>29</v>
      </c>
      <c r="D18" s="4">
        <v>2200</v>
      </c>
    </row>
    <row r="19" spans="1:4" ht="18" x14ac:dyDescent="0.35">
      <c r="A19" s="2">
        <v>44629</v>
      </c>
      <c r="B19" s="3" t="s">
        <v>12</v>
      </c>
      <c r="C19" s="3" t="s">
        <v>30</v>
      </c>
      <c r="D19" s="4">
        <v>4500</v>
      </c>
    </row>
    <row r="20" spans="1:4" ht="18" x14ac:dyDescent="0.35">
      <c r="A20" s="2">
        <v>44629</v>
      </c>
      <c r="B20" s="3" t="s">
        <v>6</v>
      </c>
      <c r="C20" s="3" t="s">
        <v>31</v>
      </c>
      <c r="D20" s="4">
        <v>230</v>
      </c>
    </row>
    <row r="21" spans="1:4" ht="18" x14ac:dyDescent="0.35">
      <c r="A21" s="2">
        <v>44630</v>
      </c>
      <c r="B21" s="3" t="s">
        <v>6</v>
      </c>
      <c r="C21" s="3" t="s">
        <v>32</v>
      </c>
      <c r="D21" s="4">
        <v>760</v>
      </c>
    </row>
    <row r="22" spans="1:4" ht="18" x14ac:dyDescent="0.35">
      <c r="A22" s="2">
        <v>44631</v>
      </c>
      <c r="B22" s="3" t="s">
        <v>19</v>
      </c>
      <c r="C22" s="3" t="s">
        <v>33</v>
      </c>
      <c r="D22" s="4">
        <v>1050</v>
      </c>
    </row>
    <row r="23" spans="1:4" ht="18" x14ac:dyDescent="0.35">
      <c r="A23" s="2">
        <v>44632</v>
      </c>
      <c r="B23" s="3" t="s">
        <v>8</v>
      </c>
      <c r="C23" s="3" t="s">
        <v>34</v>
      </c>
      <c r="D23" s="4">
        <v>799</v>
      </c>
    </row>
    <row r="24" spans="1:4" ht="18" x14ac:dyDescent="0.35">
      <c r="A24" s="2">
        <v>44633</v>
      </c>
      <c r="B24" s="3" t="s">
        <v>6</v>
      </c>
      <c r="C24" s="3" t="s">
        <v>35</v>
      </c>
      <c r="D24" s="4">
        <v>2000</v>
      </c>
    </row>
    <row r="25" spans="1:4" ht="18" x14ac:dyDescent="0.35">
      <c r="A25" s="2">
        <v>44634</v>
      </c>
      <c r="B25" s="3" t="s">
        <v>8</v>
      </c>
      <c r="C25" s="3" t="s">
        <v>36</v>
      </c>
      <c r="D25" s="4">
        <v>1400</v>
      </c>
    </row>
    <row r="26" spans="1:4" ht="18" x14ac:dyDescent="0.35">
      <c r="A26" s="2">
        <v>44635</v>
      </c>
      <c r="B26" s="3" t="s">
        <v>10</v>
      </c>
      <c r="C26" s="3" t="s">
        <v>37</v>
      </c>
      <c r="D26" s="4">
        <v>430</v>
      </c>
    </row>
    <row r="27" spans="1:4" ht="18" x14ac:dyDescent="0.35">
      <c r="A27" s="2">
        <v>44636</v>
      </c>
      <c r="B27" s="3" t="s">
        <v>12</v>
      </c>
      <c r="C27" s="3" t="s">
        <v>38</v>
      </c>
      <c r="D27" s="4">
        <v>1200</v>
      </c>
    </row>
    <row r="28" spans="1:4" ht="18" x14ac:dyDescent="0.35">
      <c r="A28" s="2">
        <v>44636</v>
      </c>
      <c r="B28" s="3" t="s">
        <v>14</v>
      </c>
      <c r="C28" s="3" t="s">
        <v>39</v>
      </c>
      <c r="D28" s="4">
        <v>599</v>
      </c>
    </row>
    <row r="29" spans="1:4" ht="18" x14ac:dyDescent="0.35">
      <c r="A29" s="6">
        <v>44630</v>
      </c>
      <c r="B29" s="5" t="s">
        <v>21</v>
      </c>
      <c r="C29" s="5" t="s">
        <v>40</v>
      </c>
      <c r="D29" s="7">
        <v>1200</v>
      </c>
    </row>
    <row r="30" spans="1:4" ht="18" x14ac:dyDescent="0.35">
      <c r="A30" s="6">
        <v>44635</v>
      </c>
      <c r="B30" s="5" t="s">
        <v>21</v>
      </c>
      <c r="C30" s="5" t="s">
        <v>40</v>
      </c>
      <c r="D30" s="7">
        <v>1200</v>
      </c>
    </row>
    <row r="31" spans="1:4" ht="18" x14ac:dyDescent="0.35">
      <c r="A31" s="6">
        <v>44630</v>
      </c>
      <c r="B31" s="5" t="s">
        <v>21</v>
      </c>
      <c r="C31" s="5" t="s">
        <v>41</v>
      </c>
      <c r="D31" s="7">
        <v>1300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D2219-756B-4A60-A01B-7CC2FB241979}">
  <dimension ref="B6:C19"/>
  <sheetViews>
    <sheetView showGridLines="0" workbookViewId="0">
      <selection activeCell="H24" sqref="H24"/>
    </sheetView>
  </sheetViews>
  <sheetFormatPr defaultRowHeight="14.4" x14ac:dyDescent="0.3"/>
  <cols>
    <col min="1" max="1" width="3.5546875" customWidth="1"/>
    <col min="2" max="2" width="19.44140625" bestFit="1" customWidth="1"/>
    <col min="3" max="3" width="10.44140625" bestFit="1" customWidth="1"/>
  </cols>
  <sheetData>
    <row r="6" spans="2:3" x14ac:dyDescent="0.3">
      <c r="B6" s="8" t="s">
        <v>42</v>
      </c>
      <c r="C6" s="9">
        <v>44622</v>
      </c>
    </row>
    <row r="7" spans="2:3" x14ac:dyDescent="0.3">
      <c r="B7" s="8" t="s">
        <v>43</v>
      </c>
      <c r="C7" s="9">
        <v>44634</v>
      </c>
    </row>
    <row r="9" spans="2:3" x14ac:dyDescent="0.3">
      <c r="B9" s="10" t="s">
        <v>1</v>
      </c>
      <c r="C9" s="10" t="s">
        <v>3</v>
      </c>
    </row>
    <row r="10" spans="2:3" ht="18" x14ac:dyDescent="0.35">
      <c r="B10" s="11" t="s">
        <v>4</v>
      </c>
      <c r="C10" s="8">
        <f>SUMIFS('[1]RAW DATA'!D2:D31,[1]!Table1[CATEGORY],PROJECT2!B10,[1]!Table1[DATE],"&gt;="&amp;PROJECT2!$C$6,[1]!Table1[DATE],"&lt;="&amp;PROJECT2!$C$7)</f>
        <v>2500</v>
      </c>
    </row>
    <row r="11" spans="2:3" ht="18" x14ac:dyDescent="0.35">
      <c r="B11" s="11" t="s">
        <v>6</v>
      </c>
      <c r="C11" s="8">
        <f>SUMIFS('[1]RAW DATA'!D3:D32,[1]!Table1[CATEGORY],PROJECT2!B11,[1]!Table1[DATE],"&gt;="&amp;PROJECT2!$C$6,[1]!Table1[DATE],"&lt;="&amp;PROJECT2!$C$7)</f>
        <v>5410</v>
      </c>
    </row>
    <row r="12" spans="2:3" ht="18" x14ac:dyDescent="0.35">
      <c r="B12" s="11" t="s">
        <v>8</v>
      </c>
      <c r="C12" s="8">
        <f>SUMIFS('[1]RAW DATA'!D4:D33,[1]!Table1[CATEGORY],PROJECT2!B12,[1]!Table1[DATE],"&gt;="&amp;PROJECT2!$C$6,[1]!Table1[DATE],"&lt;="&amp;PROJECT2!$C$7)</f>
        <v>3400</v>
      </c>
    </row>
    <row r="13" spans="2:3" ht="18" x14ac:dyDescent="0.35">
      <c r="B13" s="11" t="s">
        <v>10</v>
      </c>
      <c r="C13" s="8">
        <f>SUMIFS('[1]RAW DATA'!D5:D34,[1]!Table1[CATEGORY],PROJECT2!B13,[1]!Table1[DATE],"&gt;="&amp;PROJECT2!$C$6,[1]!Table1[DATE],"&lt;="&amp;PROJECT2!$C$7)</f>
        <v>7300</v>
      </c>
    </row>
    <row r="14" spans="2:3" ht="18" x14ac:dyDescent="0.35">
      <c r="B14" s="11" t="s">
        <v>12</v>
      </c>
      <c r="C14" s="8">
        <f>SUMIFS('[1]RAW DATA'!D6:D35,[1]!Table1[CATEGORY],PROJECT2!B14,[1]!Table1[DATE],"&gt;="&amp;PROJECT2!$C$6,[1]!Table1[DATE],"&lt;="&amp;PROJECT2!$C$7)</f>
        <v>2249</v>
      </c>
    </row>
    <row r="15" spans="2:3" ht="18" x14ac:dyDescent="0.35">
      <c r="B15" s="11" t="s">
        <v>14</v>
      </c>
      <c r="C15" s="8">
        <f>SUMIFS('[1]RAW DATA'!D7:D36,[1]!Table1[CATEGORY],PROJECT2!B15,[1]!Table1[DATE],"&gt;="&amp;PROJECT2!$C$6,[1]!Table1[DATE],"&lt;="&amp;PROJECT2!$C$7)</f>
        <v>3800</v>
      </c>
    </row>
    <row r="16" spans="2:3" ht="18" x14ac:dyDescent="0.35">
      <c r="B16" s="11" t="s">
        <v>17</v>
      </c>
      <c r="C16" s="8">
        <f>SUMIFS('[1]RAW DATA'!D8:D37,[1]!Table1[CATEGORY],PROJECT2!B16,[1]!Table1[DATE],"&gt;="&amp;PROJECT2!$C$6,[1]!Table1[DATE],"&lt;="&amp;PROJECT2!$C$7)</f>
        <v>3550</v>
      </c>
    </row>
    <row r="17" spans="2:3" ht="18" x14ac:dyDescent="0.35">
      <c r="B17" s="11" t="s">
        <v>19</v>
      </c>
      <c r="C17" s="8">
        <f>SUMIFS('[1]RAW DATA'!D9:D38,[1]!Table1[CATEGORY],PROJECT2!B17,[1]!Table1[DATE],"&gt;="&amp;PROJECT2!$C$6,[1]!Table1[DATE],"&lt;="&amp;PROJECT2!$C$7)</f>
        <v>4200</v>
      </c>
    </row>
    <row r="18" spans="2:3" ht="18" x14ac:dyDescent="0.35">
      <c r="B18" s="11" t="s">
        <v>21</v>
      </c>
      <c r="C18" s="8">
        <f>SUMIFS('[1]RAW DATA'!D2:D31,[1]!Table1[CATEGORY],PROJECT2!B18,[1]!Table1[DATE],"&gt;="&amp;PROJECT2!$C$6,[1]!Table1[DATE],"&lt;="&amp;PROJECT2!$C$7)</f>
        <v>2500</v>
      </c>
    </row>
    <row r="19" spans="2:3" ht="18" x14ac:dyDescent="0.35">
      <c r="B19" s="11" t="s">
        <v>44</v>
      </c>
      <c r="C19" s="8">
        <f>SUM(C10:C18)</f>
        <v>34909</v>
      </c>
    </row>
  </sheetData>
  <pageMargins left="0.7" right="0.7" top="0.75" bottom="0.75" header="0.3" footer="0.3"/>
  <pageSetup orientation="portrait" horizontalDpi="200" verticalDpi="20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RAW DATA</vt:lpstr>
      <vt:lpstr>PROJECT2</vt:lpstr>
      <vt:lpstr>'RAW DATA'!Extract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Sahara Rampal</dc:creator>
  <cp:lastModifiedBy>Sahara Rampal</cp:lastModifiedBy>
  <dcterms:created xsi:type="dcterms:W3CDTF">2026-07-18T06:54:46Z</dcterms:created>
  <dcterms:modified xsi:type="dcterms:W3CDTF">2026-07-18T06:58:59Z</dcterms:modified>
</cp:coreProperties>
</file>